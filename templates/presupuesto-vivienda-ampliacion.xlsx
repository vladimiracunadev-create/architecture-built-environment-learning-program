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e3c2019a8d42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b792e0ec33094ef2"/>
    <x:sheet xmlns:r="http://schemas.openxmlformats.org/officeDocument/2006/relationships" name="Supuestos" sheetId="2" r:id="Rb05d759c58a04f3a"/>
    <x:sheet xmlns:r="http://schemas.openxmlformats.org/officeDocument/2006/relationships" name="Presupuesto" sheetId="3" r:id="R84aa151b5fbe493b"/>
    <x:sheet xmlns:r="http://schemas.openxmlformats.org/officeDocument/2006/relationships" name="Flujo mensual" sheetId="4" r:id="R31f1f1704183466a"/>
    <x:sheet xmlns:r="http://schemas.openxmlformats.org/officeDocument/2006/relationships" name="Cotizaciones" sheetId="5" r:id="R9d03da2284494b17"/>
    <x:sheet xmlns:r="http://schemas.openxmlformats.org/officeDocument/2006/relationships" name="Control" sheetId="6" r:id="R260db36c1f594b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[$$-es-CL]#,##0;[Red]([$ $-es-CL]#,##0);-"/>
    <x:numFmt numFmtId="202" formatCode="0.0%"/>
    <x:numFmt numFmtId="203" formatCode="#,##0.00"/>
    <x:numFmt numFmtId="204" formatCode="0.00%"/>
    <x:numFmt numFmtId="205" formatCode="0.00"/>
  </x:numFmts>
  <x:fonts count="9">
    <x:font>
      <x:sz val="11"/>
      <x:name val="Carlito"/>
    </x:font>
    <x:font>
      <x:sz val="10"/>
      <x:color rgb="FF1F2933"/>
      <x:name val="Arial"/>
    </x:font>
    <x:font>
      <x:b/>
      <x:sz val="15"/>
      <x:color rgb="FF17324D"/>
      <x:name val="Arial"/>
    </x:font>
    <x:font>
      <x:i/>
      <x:sz val="9"/>
      <x:color rgb="FF5B6570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color rgb="FF17324D"/>
      <x:name val="Arial"/>
    </x:font>
    <x:font>
      <x:sz val="10"/>
      <x:color rgb="FF008000"/>
      <x:name val="Arial"/>
    </x:font>
    <x:font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</x:fills>
  <x:borders count="7">
    <x:border>
      <x:left/>
      <x:right/>
      <x:top/>
      <x:bottom/>
      <x:diagonal/>
    </x:border>
    <x:border>
      <x:left/>
      <x:right/>
      <x:top/>
      <x:bottom style="thin">
        <x:color rgb="FFA45238"/>
      </x:bottom>
      <x:diagonal/>
    </x:border>
    <x:border>
      <x:left/>
      <x:right style="thin">
        <x:color rgb="FFFFFFFF"/>
      </x:right>
      <x:top/>
      <x:bottom style="thin">
        <x:color rgb="FF17324D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17324D"/>
      </x:bottom>
      <x:diagonal/>
    </x:border>
    <x:border>
      <x:left style="thin">
        <x:color rgb="FFFFFFFF"/>
      </x:left>
      <x:right/>
      <x:top/>
      <x:bottom style="thin">
        <x:color rgb="FF17324D"/>
      </x:bottom>
      <x:diagonal/>
    </x:border>
    <x:border>
      <x:left/>
      <x:right/>
      <x:top/>
      <x:bottom style="thin">
        <x:color rgb="FFD9D4C7"/>
      </x:bottom>
      <x:diagonal/>
    </x:border>
    <x:border>
      <x:left/>
      <x:right/>
      <x:top/>
      <x:bottom style="hair">
        <x:color rgb="FFD9D4C7"/>
      </x:bottom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1" fontId="6" fillId="0" borderId="5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3" fontId="5" fillId="3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1d04ab03094755" /><Relationship Type="http://schemas.openxmlformats.org/officeDocument/2006/relationships/theme" Target="/xl/theme/theme1.xml" Id="R1c4a321979ff49a6" /><Relationship Type="http://schemas.openxmlformats.org/officeDocument/2006/relationships/sharedStrings" Target="/xl/sharedStrings.xml" Id="R81ef06e3a0f94447" /><Relationship Type="http://schemas.openxmlformats.org/officeDocument/2006/relationships/worksheet" Target="/xl/worksheets/sheet1.xml" Id="Rb792e0ec33094ef2" /><Relationship Type="http://schemas.openxmlformats.org/officeDocument/2006/relationships/worksheet" Target="/xl/worksheets/sheet2.xml" Id="Rb05d759c58a04f3a" /><Relationship Type="http://schemas.openxmlformats.org/officeDocument/2006/relationships/worksheet" Target="/xl/worksheets/sheet3.xml" Id="R84aa151b5fbe493b" /><Relationship Type="http://schemas.openxmlformats.org/officeDocument/2006/relationships/worksheet" Target="/xl/worksheets/sheet4.xml" Id="R31f1f1704183466a" /><Relationship Type="http://schemas.openxmlformats.org/officeDocument/2006/relationships/worksheet" Target="/xl/worksheets/sheet5.xml" Id="R9d03da2284494b17" /><Relationship Type="http://schemas.openxmlformats.org/officeDocument/2006/relationships/worksheet" Target="/xl/worksheets/sheet6.xml" Id="R260db36c1f594b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69c3ba2d2db4b0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Comparación de totales didácticos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Total CLP</c:v>
          </c:tx>
          <c:invertIfNegative val="0"/>
          <c:cat>
            <c:strRef>
              <c:f>'Resumen'!$I$7:$I$12</c:f>
              <c:strCache>
                <c:ptCount val="0"/>
              </c:strCache>
            </c:strRef>
          </c:cat>
          <c:val>
            <c:numRef>
              <c:f>'Resumen'!$J$7:$J$12</c:f>
              <c:numCache>
                <c:formatCode>[$$-es-CL]#,##0;[Red]([$ $-es-CL]#,##0);-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[$$-es-CL]0,,&quot; M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13</xdr:row>
      <xdr:rowOff>0</xdr:rowOff>
    </xdr:from>
    <xdr:to>
      <xdr:col>17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9c3ba2d2db4b0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c001584312b4d9b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0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9" max="9" width="36" hidden="0" customWidth="1"/>
    <x:col min="10" max="10" width="10.75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8" hidden="0" customHeight="1">
      <x:c r="A2" s="3" t="str">
        <x:v>Presupuesto de vivienda nueva y ampliación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4"/>
      <x:c r="B3" s="4"/>
      <x:c r="C3" s="4"/>
      <x:c r="D3" s="4"/>
      <x:c r="E3" s="4"/>
      <x:c r="F3" s="4"/>
      <x:c r="G3" s="4"/>
      <x:c r="H3" s="4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6" t="str">
        <x:v>Modelo educativo en CLP. Todos los valores iniciales son HIPOTÉTICOS y deben sustituirse por cotizaciones locales comparables.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15" t="str">
        <x:v>Caso</x:v>
      </x:c>
      <x:c r="B6" s="16" t="str">
        <x:v>Escenario</x:v>
      </x:c>
      <x:c r="C6" s="16" t="str">
        <x:v>Construcción e intervención</x:v>
      </x:c>
      <x:c r="D6" s="16" t="str">
        <x:v>Honorarios y estudios</x:v>
      </x:c>
      <x:c r="E6" s="16" t="str">
        <x:v>Contingencia</x:v>
      </x:c>
      <x:c r="F6" s="16" t="str">
        <x:v>IVA configurable</x:v>
      </x:c>
      <x:c r="G6" s="17" t="str">
        <x:v>Total didáctico</x:v>
      </x:c>
      <x:c r="H6" s="2"/>
      <x:c r="I6" s="15" t="str">
        <x:v>Escenario</x:v>
      </x:c>
      <x:c r="J6" s="17" t="str">
        <x:v>Total CLP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2" t="str">
        <x:f>'Presupuesto'!B7</x:f>
        <x:v>CASA-NUEVA-80</x:v>
      </x:c>
      <x:c r="B7" s="2" t="str">
        <x:f>'Presupuesto'!C7</x:f>
        <x:v>Económico</x:v>
      </x:c>
      <x:c r="C7" s="25" t="n">
        <x:f>SUM('Presupuesto'!F7:G7)</x:f>
        <x:v>68000000</x:v>
      </x:c>
      <x:c r="D7" s="25" t="n">
        <x:f>'Presupuesto'!H7</x:f>
        <x:v>8840000</x:v>
      </x:c>
      <x:c r="E7" s="25" t="n">
        <x:f>'Presupuesto'!I7</x:f>
        <x:v>7684000</x:v>
      </x:c>
      <x:c r="F7" s="25" t="n">
        <x:f>'Presupuesto'!J7</x:f>
        <x:v>16059560</x:v>
      </x:c>
      <x:c r="G7" s="30" t="n">
        <x:f>'Presupuesto'!K7</x:f>
        <x:v>100583560</x:v>
      </x:c>
      <x:c r="H7" s="2"/>
      <x:c r="I7" s="2" t="str">
        <x:f>A7&amp;" · "&amp;B7</x:f>
        <x:v>CASA-NUEVA-80 · Económico</x:v>
      </x:c>
      <x:c r="J7" s="25" t="n">
        <x:f>G7</x:f>
        <x:v>100583560</x:v>
      </x:c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2" t="str">
        <x:f>'Presupuesto'!B8</x:f>
        <x:v>CASA-NUEVA-80</x:v>
      </x:c>
      <x:c r="B8" s="2" t="str">
        <x:f>'Presupuesto'!C8</x:f>
        <x:v>Estándar</x:v>
      </x:c>
      <x:c r="C8" s="25" t="n">
        <x:f>SUM('Presupuesto'!F8:G8)</x:f>
        <x:v>92000000</x:v>
      </x:c>
      <x:c r="D8" s="25" t="n">
        <x:f>'Presupuesto'!H8</x:f>
        <x:v>11960000</x:v>
      </x:c>
      <x:c r="E8" s="25" t="n">
        <x:f>'Presupuesto'!I8</x:f>
        <x:v>15594000</x:v>
      </x:c>
      <x:c r="F8" s="25" t="n">
        <x:f>'Presupuesto'!J8</x:f>
        <x:v>22715260</x:v>
      </x:c>
      <x:c r="G8" s="30" t="n">
        <x:f>'Presupuesto'!K8</x:f>
        <x:v>142269260</x:v>
      </x:c>
      <x:c r="H8" s="2"/>
      <x:c r="I8" s="2" t="str">
        <x:f>A8&amp;" · "&amp;B8</x:f>
        <x:v>CASA-NUEVA-80 · Estándar</x:v>
      </x:c>
      <x:c r="J8" s="25" t="n">
        <x:f>G8</x:f>
        <x:v>142269260</x:v>
      </x:c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2" t="str">
        <x:f>'Presupuesto'!B9</x:f>
        <x:v>CASA-NUEVA-80</x:v>
      </x:c>
      <x:c r="B9" s="2" t="str">
        <x:f>'Presupuesto'!C9</x:f>
        <x:v>Mayor desempeño</x:v>
      </x:c>
      <x:c r="C9" s="25" t="n">
        <x:f>SUM('Presupuesto'!F9:G9)</x:f>
        <x:v>120000000</x:v>
      </x:c>
      <x:c r="D9" s="25" t="n">
        <x:f>'Presupuesto'!H9</x:f>
        <x:v>15600000</x:v>
      </x:c>
      <x:c r="E9" s="25" t="n">
        <x:f>'Presupuesto'!I9</x:f>
        <x:v>27120000</x:v>
      </x:c>
      <x:c r="F9" s="25" t="n">
        <x:f>'Presupuesto'!J9</x:f>
        <x:v>30916800</x:v>
      </x:c>
      <x:c r="G9" s="30" t="n">
        <x:f>'Presupuesto'!K9</x:f>
        <x:v>193636800</x:v>
      </x:c>
      <x:c r="H9" s="2"/>
      <x:c r="I9" s="2" t="str">
        <x:f>A9&amp;" · "&amp;B9</x:f>
        <x:v>CASA-NUEVA-80 · Mayor desempeño</x:v>
      </x:c>
      <x:c r="J9" s="25" t="n">
        <x:f>G9</x:f>
        <x:v>193636800</x:v>
      </x:c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2" t="str">
        <x:f>'Presupuesto'!B10</x:f>
        <x:v>AMPLIACION-24</x:v>
      </x:c>
      <x:c r="B10" s="2" t="str">
        <x:f>'Presupuesto'!C10</x:f>
        <x:v>Económico</x:v>
      </x:c>
      <x:c r="C10" s="25" t="n">
        <x:f>SUM('Presupuesto'!F10:G10)</x:f>
        <x:v>25600000</x:v>
      </x:c>
      <x:c r="D10" s="25" t="n">
        <x:f>'Presupuesto'!H10</x:f>
        <x:v>3840000</x:v>
      </x:c>
      <x:c r="E10" s="25" t="n">
        <x:f>'Presupuesto'!I10</x:f>
        <x:v>2944000</x:v>
      </x:c>
      <x:c r="F10" s="25" t="n">
        <x:f>'Presupuesto'!J10</x:f>
        <x:v>6152960</x:v>
      </x:c>
      <x:c r="G10" s="30" t="n">
        <x:f>'Presupuesto'!K10</x:f>
        <x:v>38536960</x:v>
      </x:c>
      <x:c r="H10" s="2"/>
      <x:c r="I10" s="2" t="str">
        <x:f>A10&amp;" · "&amp;B10</x:f>
        <x:v>AMPLIACION-24 · Económico</x:v>
      </x:c>
      <x:c r="J10" s="25" t="n">
        <x:f>G10</x:f>
        <x:v>38536960</x:v>
      </x:c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2" t="str">
        <x:f>'Presupuesto'!B11</x:f>
        <x:v>AMPLIACION-24</x:v>
      </x:c>
      <x:c r="B11" s="2" t="str">
        <x:f>'Presupuesto'!C11</x:f>
        <x:v>Estándar</x:v>
      </x:c>
      <x:c r="C11" s="25" t="n">
        <x:f>SUM('Presupuesto'!F11:G11)</x:f>
        <x:v>35300000</x:v>
      </x:c>
      <x:c r="D11" s="25" t="n">
        <x:f>'Presupuesto'!H11</x:f>
        <x:v>5295000</x:v>
      </x:c>
      <x:c r="E11" s="25" t="n">
        <x:f>'Presupuesto'!I11</x:f>
        <x:v>6089250</x:v>
      </x:c>
      <x:c r="F11" s="25" t="n">
        <x:f>'Presupuesto'!J11</x:f>
        <x:v>8870007.5</x:v>
      </x:c>
      <x:c r="G11" s="30" t="n">
        <x:f>'Presupuesto'!K11</x:f>
        <x:v>55554257.5</x:v>
      </x:c>
      <x:c r="H11" s="2"/>
      <x:c r="I11" s="2" t="str">
        <x:f>A11&amp;" · "&amp;B11</x:f>
        <x:v>AMPLIACION-24 · Estándar</x:v>
      </x:c>
      <x:c r="J11" s="25" t="n">
        <x:f>G11</x:f>
        <x:v>55554257.5</x:v>
      </x:c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31" t="str">
        <x:f>'Presupuesto'!B12</x:f>
        <x:v>AMPLIACION-24</x:v>
      </x:c>
      <x:c r="B12" s="31" t="str">
        <x:f>'Presupuesto'!C12</x:f>
        <x:v>Mayor desempeño</x:v>
      </x:c>
      <x:c r="C12" s="32" t="n">
        <x:f>SUM('Presupuesto'!F12:G12)</x:f>
        <x:v>45000000</x:v>
      </x:c>
      <x:c r="D12" s="32" t="n">
        <x:f>'Presupuesto'!H12</x:f>
        <x:v>6750000</x:v>
      </x:c>
      <x:c r="E12" s="32" t="n">
        <x:f>'Presupuesto'!I12</x:f>
        <x:v>10350000</x:v>
      </x:c>
      <x:c r="F12" s="32" t="n">
        <x:f>'Presupuesto'!J12</x:f>
        <x:v>11799000</x:v>
      </x:c>
      <x:c r="G12" s="33" t="n">
        <x:f>'Presupuesto'!K12</x:f>
        <x:v>73899000</x:v>
      </x:c>
      <x:c r="H12" s="2"/>
      <x:c r="I12" s="2" t="str">
        <x:f>A12&amp;" · "&amp;B12</x:f>
        <x:v>AMPLIACION-24 · Mayor desempeño</x:v>
      </x:c>
      <x:c r="J12" s="25" t="n">
        <x:f>G12</x:f>
        <x:v>73899000</x:v>
      </x:c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15" t="str">
        <x:v>Lectura</x:v>
      </x:c>
      <x:c r="B15" s="17" t="str">
        <x:v>Uso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 t="str">
        <x:v>Escenarios</x:v>
      </x:c>
      <x:c r="B16" s="34" t="str">
        <x:v>Mantienen el caso y declaran qué cambia en desempeño y alcance.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 t="str">
        <x:v>Contingencia</x:v>
      </x:c>
      <x:c r="B17" s="34" t="str">
        <x:v>10 %, 15 % y 20 % son sensibilidades didácticas, no tarifas.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 t="str">
        <x:v>Puerta</x:v>
      </x:c>
      <x:c r="B18" s="34" t="str">
        <x:v>Detener si costo a término supera financiamiento o falta una condición legal/técnica.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</x:sheetData>
  <x:mergeCells>
    <x:mergeCell ref="A2:H2"/>
    <x:mergeCell ref="A4:H4"/>
  </x:mergeCells>
  <x:pageMargins left="0.7" right="0.7" top="0.75" bottom="0.75" header="0.3" footer="0.3"/>
  <x:drawing xmlns:r="http://schemas.openxmlformats.org/officeDocument/2006/relationships" r:id="Rfc001584312b4d9b"/>
</x:worksheet>
</file>

<file path=xl/worksheets/sheet2.xml><?xml version="1.0" encoding="utf-8"?>
<x:worksheet xmlns:x="http://schemas.openxmlformats.org/spreadsheetml/2006/main">
  <x:sheetPr>
    <x:tabColor rgb="FFD9B44A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8" hidden="0" customHeight="1">
      <x:c r="A2" s="3" t="str">
        <x:v>Supuestos editables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4"/>
      <x:c r="B3" s="4"/>
      <x:c r="C3" s="4"/>
      <x:c r="D3" s="4"/>
      <x:c r="E3" s="4"/>
      <x:c r="F3" s="4"/>
      <x:c r="G3" s="4"/>
      <x:c r="H3" s="4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6" t="str">
        <x:v>Celdas amarillas: entradas. La tasa de IVA se aplica solo para probar el modelo y no afirma tratamiento tributario de una partida real.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15" t="str">
        <x:v>Código</x:v>
      </x:c>
      <x:c r="B6" s="16" t="str">
        <x:v>Caso</x:v>
      </x:c>
      <x:c r="C6" s="16" t="str">
        <x:v>Escenario</x:v>
      </x:c>
      <x:c r="D6" s="16" t="str">
        <x:v>Superficie m²</x:v>
      </x:c>
      <x:c r="E6" s="16" t="str">
        <x:v>Referencia CLP/m²</x:v>
      </x:c>
      <x:c r="F6" s="16" t="str">
        <x:v>Intervención CLP</x:v>
      </x:c>
      <x:c r="G6" s="16" t="str">
        <x:v>Honorarios/estudios %</x:v>
      </x:c>
      <x:c r="H6" s="16" t="str">
        <x:v>Contingencia %</x:v>
      </x:c>
      <x:c r="I6" s="17" t="str">
        <x:v>IVA %</x:v>
      </x:c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2" t="str">
        <x:v>ESC-01</x:v>
      </x:c>
      <x:c r="B7" s="2" t="str">
        <x:v>CASA-NUEVA-80</x:v>
      </x:c>
      <x:c r="C7" s="2" t="str">
        <x:v>Económico</x:v>
      </x:c>
      <x:c r="D7" s="20" t="n">
        <x:v>80</x:v>
      </x:c>
      <x:c r="E7" s="21" t="n">
        <x:v>850000</x:v>
      </x:c>
      <x:c r="F7" s="21" t="n">
        <x:v>0</x:v>
      </x:c>
      <x:c r="G7" s="22" t="n">
        <x:v>0.13</x:v>
      </x:c>
      <x:c r="H7" s="22" t="n">
        <x:v>0.1</x:v>
      </x:c>
      <x:c r="I7" s="22" t="n">
        <x:v>0.19</x:v>
      </x:c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2" t="str">
        <x:v>ESC-02</x:v>
      </x:c>
      <x:c r="B8" s="2" t="str">
        <x:v>CASA-NUEVA-80</x:v>
      </x:c>
      <x:c r="C8" s="2" t="str">
        <x:v>Estándar</x:v>
      </x:c>
      <x:c r="D8" s="20" t="n">
        <x:v>80</x:v>
      </x:c>
      <x:c r="E8" s="21" t="n">
        <x:v>1150000</x:v>
      </x:c>
      <x:c r="F8" s="21" t="n">
        <x:v>0</x:v>
      </x:c>
      <x:c r="G8" s="22" t="n">
        <x:v>0.13</x:v>
      </x:c>
      <x:c r="H8" s="22" t="n">
        <x:v>0.15</x:v>
      </x:c>
      <x:c r="I8" s="22" t="n">
        <x:v>0.19</x:v>
      </x:c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2" t="str">
        <x:v>ESC-03</x:v>
      </x:c>
      <x:c r="B9" s="2" t="str">
        <x:v>CASA-NUEVA-80</x:v>
      </x:c>
      <x:c r="C9" s="2" t="str">
        <x:v>Mayor desempeño</x:v>
      </x:c>
      <x:c r="D9" s="20" t="n">
        <x:v>80</x:v>
      </x:c>
      <x:c r="E9" s="21" t="n">
        <x:v>1500000</x:v>
      </x:c>
      <x:c r="F9" s="21" t="n">
        <x:v>0</x:v>
      </x:c>
      <x:c r="G9" s="22" t="n">
        <x:v>0.13</x:v>
      </x:c>
      <x:c r="H9" s="22" t="n">
        <x:v>0.2</x:v>
      </x:c>
      <x:c r="I9" s="22" t="n">
        <x:v>0.19</x:v>
      </x:c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2" t="str">
        <x:v>ESC-04</x:v>
      </x:c>
      <x:c r="B10" s="2" t="str">
        <x:v>AMPLIACION-24</x:v>
      </x:c>
      <x:c r="C10" s="2" t="str">
        <x:v>Económico</x:v>
      </x:c>
      <x:c r="D10" s="20" t="n">
        <x:v>24</x:v>
      </x:c>
      <x:c r="E10" s="21" t="n">
        <x:v>900000</x:v>
      </x:c>
      <x:c r="F10" s="21" t="n">
        <x:v>4000000</x:v>
      </x:c>
      <x:c r="G10" s="22" t="n">
        <x:v>0.15</x:v>
      </x:c>
      <x:c r="H10" s="22" t="n">
        <x:v>0.1</x:v>
      </x:c>
      <x:c r="I10" s="22" t="n">
        <x:v>0.19</x:v>
      </x:c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2" t="str">
        <x:v>ESC-05</x:v>
      </x:c>
      <x:c r="B11" s="2" t="str">
        <x:v>AMPLIACION-24</x:v>
      </x:c>
      <x:c r="C11" s="2" t="str">
        <x:v>Estándar</x:v>
      </x:c>
      <x:c r="D11" s="20" t="n">
        <x:v>24</x:v>
      </x:c>
      <x:c r="E11" s="21" t="n">
        <x:v>1200000</x:v>
      </x:c>
      <x:c r="F11" s="21" t="n">
        <x:v>6500000</x:v>
      </x:c>
      <x:c r="G11" s="22" t="n">
        <x:v>0.15</x:v>
      </x:c>
      <x:c r="H11" s="22" t="n">
        <x:v>0.15</x:v>
      </x:c>
      <x:c r="I11" s="22" t="n">
        <x:v>0.19</x:v>
      </x:c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2" t="str">
        <x:v>ESC-06</x:v>
      </x:c>
      <x:c r="B12" s="2" t="str">
        <x:v>AMPLIACION-24</x:v>
      </x:c>
      <x:c r="C12" s="2" t="str">
        <x:v>Mayor desempeño</x:v>
      </x:c>
      <x:c r="D12" s="20" t="n">
        <x:v>24</x:v>
      </x:c>
      <x:c r="E12" s="21" t="n">
        <x:v>1500000</x:v>
      </x:c>
      <x:c r="F12" s="21" t="n">
        <x:v>9000000</x:v>
      </x:c>
      <x:c r="G12" s="22" t="n">
        <x:v>0.15</x:v>
      </x:c>
      <x:c r="H12" s="22" t="n">
        <x:v>0.2</x:v>
      </x:c>
      <x:c r="I12" s="22" t="n">
        <x:v>0.19</x:v>
      </x:c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3" t="str">
        <x:v>Estado de precios</x:v>
      </x:c>
      <x:c r="B14" s="19" t="str">
        <x:v>HIPOTÉTICO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3" t="str">
        <x:v>Fecha de cotización</x:v>
      </x:c>
      <x:c r="B15" s="19" t="str">
        <x:v>Sin cotización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3" t="str">
        <x:v>Ubicación</x:v>
      </x:c>
      <x:c r="B16" s="19" t="str">
        <x:v>Por definir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</x:sheetData>
  <x:mergeCells>
    <x:mergeCell ref="A2:H2"/>
    <x:mergeCell ref="A4:H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4523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8" hidden="0" customHeight="1">
      <x:c r="A2" s="3" t="str">
        <x:v>Construcción del presupuesto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4"/>
      <x:c r="B3" s="4"/>
      <x:c r="C3" s="4"/>
      <x:c r="D3" s="4"/>
      <x:c r="E3" s="4"/>
      <x:c r="F3" s="4"/>
      <x:c r="G3" s="4"/>
      <x:c r="H3" s="4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6" t="str">
        <x:v>Cantidad × referencia, intervención, honorarios/estudios, contingencia e IVA se muestran como pasos separados.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15" t="str">
        <x:v>Código</x:v>
      </x:c>
      <x:c r="B6" s="16" t="str">
        <x:v>Caso</x:v>
      </x:c>
      <x:c r="C6" s="16" t="str">
        <x:v>Escenario</x:v>
      </x:c>
      <x:c r="D6" s="16" t="str">
        <x:v>Superficie</x:v>
      </x:c>
      <x:c r="E6" s="16" t="str">
        <x:v>Referencia</x:v>
      </x:c>
      <x:c r="F6" s="16" t="str">
        <x:v>Construcción</x:v>
      </x:c>
      <x:c r="G6" s="16" t="str">
        <x:v>Intervención</x:v>
      </x:c>
      <x:c r="H6" s="16" t="str">
        <x:v>Honorarios/estudios</x:v>
      </x:c>
      <x:c r="I6" s="16" t="str">
        <x:v>Contingencia</x:v>
      </x:c>
      <x:c r="J6" s="16" t="str">
        <x:v>IVA</x:v>
      </x:c>
      <x:c r="K6" s="17" t="str">
        <x:v>Total</x:v>
      </x:c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26" t="str">
        <x:f>'Supuestos'!A7</x:f>
        <x:v>ESC-01</x:v>
      </x:c>
      <x:c r="B7" s="26" t="str">
        <x:f>'Supuestos'!B7</x:f>
        <x:v>CASA-NUEVA-80</x:v>
      </x:c>
      <x:c r="C7" s="26" t="str">
        <x:f>'Supuestos'!C7</x:f>
        <x:v>Económico</x:v>
      </x:c>
      <x:c r="D7" s="27" t="n">
        <x:f>'Supuestos'!D7</x:f>
        <x:v>80</x:v>
      </x:c>
      <x:c r="E7" s="28" t="n">
        <x:f>'Supuestos'!E7</x:f>
        <x:v>850000</x:v>
      </x:c>
      <x:c r="F7" s="29" t="n">
        <x:f>D7*E7</x:f>
        <x:v>68000000</x:v>
      </x:c>
      <x:c r="G7" s="29" t="n">
        <x:f>'Supuestos'!F7</x:f>
        <x:v>0</x:v>
      </x:c>
      <x:c r="H7" s="29" t="n">
        <x:f>(F7+G7)*'Supuestos'!G7</x:f>
        <x:v>8840000</x:v>
      </x:c>
      <x:c r="I7" s="29" t="n">
        <x:f>(F7+G7+H7)*'Supuestos'!H7</x:f>
        <x:v>7684000</x:v>
      </x:c>
      <x:c r="J7" s="29" t="n">
        <x:f>(F7+G7+H7+I7)*'Supuestos'!I7</x:f>
        <x:v>16059560</x:v>
      </x:c>
      <x:c r="K7" s="30" t="n">
        <x:f>SUM(F7:J7)</x:f>
        <x:v>100583560</x:v>
      </x:c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26" t="str">
        <x:f>'Supuestos'!A8</x:f>
        <x:v>ESC-02</x:v>
      </x:c>
      <x:c r="B8" s="26" t="str">
        <x:f>'Supuestos'!B8</x:f>
        <x:v>CASA-NUEVA-80</x:v>
      </x:c>
      <x:c r="C8" s="26" t="str">
        <x:f>'Supuestos'!C8</x:f>
        <x:v>Estándar</x:v>
      </x:c>
      <x:c r="D8" s="27" t="n">
        <x:f>'Supuestos'!D8</x:f>
        <x:v>80</x:v>
      </x:c>
      <x:c r="E8" s="28" t="n">
        <x:f>'Supuestos'!E8</x:f>
        <x:v>1150000</x:v>
      </x:c>
      <x:c r="F8" s="29" t="n">
        <x:f>D8*E8</x:f>
        <x:v>92000000</x:v>
      </x:c>
      <x:c r="G8" s="29" t="n">
        <x:f>'Supuestos'!F8</x:f>
        <x:v>0</x:v>
      </x:c>
      <x:c r="H8" s="29" t="n">
        <x:f>(F8+G8)*'Supuestos'!G8</x:f>
        <x:v>11960000</x:v>
      </x:c>
      <x:c r="I8" s="29" t="n">
        <x:f>(F8+G8+H8)*'Supuestos'!H8</x:f>
        <x:v>15594000</x:v>
      </x:c>
      <x:c r="J8" s="29" t="n">
        <x:f>(F8+G8+H8+I8)*'Supuestos'!I8</x:f>
        <x:v>22715260</x:v>
      </x:c>
      <x:c r="K8" s="30" t="n">
        <x:f>SUM(F8:J8)</x:f>
        <x:v>142269260</x:v>
      </x:c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26" t="str">
        <x:f>'Supuestos'!A9</x:f>
        <x:v>ESC-03</x:v>
      </x:c>
      <x:c r="B9" s="26" t="str">
        <x:f>'Supuestos'!B9</x:f>
        <x:v>CASA-NUEVA-80</x:v>
      </x:c>
      <x:c r="C9" s="26" t="str">
        <x:f>'Supuestos'!C9</x:f>
        <x:v>Mayor desempeño</x:v>
      </x:c>
      <x:c r="D9" s="27" t="n">
        <x:f>'Supuestos'!D9</x:f>
        <x:v>80</x:v>
      </x:c>
      <x:c r="E9" s="28" t="n">
        <x:f>'Supuestos'!E9</x:f>
        <x:v>1500000</x:v>
      </x:c>
      <x:c r="F9" s="29" t="n">
        <x:f>D9*E9</x:f>
        <x:v>120000000</x:v>
      </x:c>
      <x:c r="G9" s="29" t="n">
        <x:f>'Supuestos'!F9</x:f>
        <x:v>0</x:v>
      </x:c>
      <x:c r="H9" s="29" t="n">
        <x:f>(F9+G9)*'Supuestos'!G9</x:f>
        <x:v>15600000</x:v>
      </x:c>
      <x:c r="I9" s="29" t="n">
        <x:f>(F9+G9+H9)*'Supuestos'!H9</x:f>
        <x:v>27120000</x:v>
      </x:c>
      <x:c r="J9" s="29" t="n">
        <x:f>(F9+G9+H9+I9)*'Supuestos'!I9</x:f>
        <x:v>30916800</x:v>
      </x:c>
      <x:c r="K9" s="30" t="n">
        <x:f>SUM(F9:J9)</x:f>
        <x:v>193636800</x:v>
      </x:c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26" t="str">
        <x:f>'Supuestos'!A10</x:f>
        <x:v>ESC-04</x:v>
      </x:c>
      <x:c r="B10" s="26" t="str">
        <x:f>'Supuestos'!B10</x:f>
        <x:v>AMPLIACION-24</x:v>
      </x:c>
      <x:c r="C10" s="26" t="str">
        <x:f>'Supuestos'!C10</x:f>
        <x:v>Económico</x:v>
      </x:c>
      <x:c r="D10" s="27" t="n">
        <x:f>'Supuestos'!D10</x:f>
        <x:v>24</x:v>
      </x:c>
      <x:c r="E10" s="28" t="n">
        <x:f>'Supuestos'!E10</x:f>
        <x:v>900000</x:v>
      </x:c>
      <x:c r="F10" s="29" t="n">
        <x:f>D10*E10</x:f>
        <x:v>21600000</x:v>
      </x:c>
      <x:c r="G10" s="29" t="n">
        <x:f>'Supuestos'!F10</x:f>
        <x:v>4000000</x:v>
      </x:c>
      <x:c r="H10" s="29" t="n">
        <x:f>(F10+G10)*'Supuestos'!G10</x:f>
        <x:v>3840000</x:v>
      </x:c>
      <x:c r="I10" s="29" t="n">
        <x:f>(F10+G10+H10)*'Supuestos'!H10</x:f>
        <x:v>2944000</x:v>
      </x:c>
      <x:c r="J10" s="29" t="n">
        <x:f>(F10+G10+H10+I10)*'Supuestos'!I10</x:f>
        <x:v>6152960</x:v>
      </x:c>
      <x:c r="K10" s="30" t="n">
        <x:f>SUM(F10:J10)</x:f>
        <x:v>38536960</x:v>
      </x:c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26" t="str">
        <x:f>'Supuestos'!A11</x:f>
        <x:v>ESC-05</x:v>
      </x:c>
      <x:c r="B11" s="26" t="str">
        <x:f>'Supuestos'!B11</x:f>
        <x:v>AMPLIACION-24</x:v>
      </x:c>
      <x:c r="C11" s="26" t="str">
        <x:f>'Supuestos'!C11</x:f>
        <x:v>Estándar</x:v>
      </x:c>
      <x:c r="D11" s="27" t="n">
        <x:f>'Supuestos'!D11</x:f>
        <x:v>24</x:v>
      </x:c>
      <x:c r="E11" s="28" t="n">
        <x:f>'Supuestos'!E11</x:f>
        <x:v>1200000</x:v>
      </x:c>
      <x:c r="F11" s="29" t="n">
        <x:f>D11*E11</x:f>
        <x:v>28800000</x:v>
      </x:c>
      <x:c r="G11" s="29" t="n">
        <x:f>'Supuestos'!F11</x:f>
        <x:v>6500000</x:v>
      </x:c>
      <x:c r="H11" s="29" t="n">
        <x:f>(F11+G11)*'Supuestos'!G11</x:f>
        <x:v>5295000</x:v>
      </x:c>
      <x:c r="I11" s="29" t="n">
        <x:f>(F11+G11+H11)*'Supuestos'!H11</x:f>
        <x:v>6089250</x:v>
      </x:c>
      <x:c r="J11" s="29" t="n">
        <x:f>(F11+G11+H11+I11)*'Supuestos'!I11</x:f>
        <x:v>8870007.5</x:v>
      </x:c>
      <x:c r="K11" s="30" t="n">
        <x:f>SUM(F11:J11)</x:f>
        <x:v>55554257.5</x:v>
      </x:c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26" t="str">
        <x:f>'Supuestos'!A12</x:f>
        <x:v>ESC-06</x:v>
      </x:c>
      <x:c r="B12" s="26" t="str">
        <x:f>'Supuestos'!B12</x:f>
        <x:v>AMPLIACION-24</x:v>
      </x:c>
      <x:c r="C12" s="26" t="str">
        <x:f>'Supuestos'!C12</x:f>
        <x:v>Mayor desempeño</x:v>
      </x:c>
      <x:c r="D12" s="27" t="n">
        <x:f>'Supuestos'!D12</x:f>
        <x:v>24</x:v>
      </x:c>
      <x:c r="E12" s="28" t="n">
        <x:f>'Supuestos'!E12</x:f>
        <x:v>1500000</x:v>
      </x:c>
      <x:c r="F12" s="29" t="n">
        <x:f>D12*E12</x:f>
        <x:v>36000000</x:v>
      </x:c>
      <x:c r="G12" s="29" t="n">
        <x:f>'Supuestos'!F12</x:f>
        <x:v>9000000</x:v>
      </x:c>
      <x:c r="H12" s="29" t="n">
        <x:f>(F12+G12)*'Supuestos'!G12</x:f>
        <x:v>6750000</x:v>
      </x:c>
      <x:c r="I12" s="29" t="n">
        <x:f>(F12+G12+H12)*'Supuestos'!H12</x:f>
        <x:v>10350000</x:v>
      </x:c>
      <x:c r="J12" s="29" t="n">
        <x:f>(F12+G12+H12+I12)*'Supuestos'!I12</x:f>
        <x:v>11799000</x:v>
      </x:c>
      <x:c r="K12" s="30" t="n">
        <x:f>SUM(F12:J12)</x:f>
        <x:v>73899000</x:v>
      </x:c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</x:sheetData>
  <x:mergeCells>
    <x:mergeCell ref="A2:H2"/>
    <x:mergeCell ref="A4:H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4523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1" max="11" width="15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8" hidden="0" customHeight="1">
      <x:c r="A2" s="3" t="str">
        <x:v>Flujo mensual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4"/>
      <x:c r="B3" s="4"/>
      <x:c r="C3" s="4"/>
      <x:c r="D3" s="4"/>
      <x:c r="E3" s="4"/>
      <x:c r="F3" s="4"/>
      <x:c r="G3" s="4"/>
      <x:c r="H3" s="4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6" t="str">
        <x:v>Distribución hipotética del total por seis meses. Edite los porcentajes amarillos; cada fila debe sumar 100 %.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15" t="str">
        <x:v>Código</x:v>
      </x:c>
      <x:c r="B6" s="16" t="str">
        <x:v>Caso</x:v>
      </x:c>
      <x:c r="C6" s="16" t="str">
        <x:v>Escenario</x:v>
      </x:c>
      <x:c r="D6" s="16" t="str">
        <x:v>Total</x:v>
      </x:c>
      <x:c r="E6" s="16" t="str">
        <x:v>Mes 1</x:v>
      </x:c>
      <x:c r="F6" s="16" t="str">
        <x:v>Mes 2</x:v>
      </x:c>
      <x:c r="G6" s="16" t="str">
        <x:v>Mes 3</x:v>
      </x:c>
      <x:c r="H6" s="16" t="str">
        <x:v>Mes 4</x:v>
      </x:c>
      <x:c r="I6" s="16" t="str">
        <x:v>Mes 5</x:v>
      </x:c>
      <x:c r="J6" s="17" t="str">
        <x:v>Mes 6</x:v>
      </x:c>
      <x:c r="K6" s="2"/>
      <x:c r="L6" s="15" t="str">
        <x:v>Mes 1 %</x:v>
      </x:c>
      <x:c r="M6" s="16" t="str">
        <x:v>Mes 2 %</x:v>
      </x:c>
      <x:c r="N6" s="16" t="str">
        <x:v>Mes 3 %</x:v>
      </x:c>
      <x:c r="O6" s="16" t="str">
        <x:v>Mes 4 %</x:v>
      </x:c>
      <x:c r="P6" s="16" t="str">
        <x:v>Mes 5 %</x:v>
      </x:c>
      <x:c r="Q6" s="17" t="str">
        <x:v>Mes 6 %</x:v>
      </x:c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26" t="str">
        <x:f>'Presupuesto'!A7</x:f>
        <x:v>ESC-01</x:v>
      </x:c>
      <x:c r="B7" s="26" t="str">
        <x:f>'Presupuesto'!B7</x:f>
        <x:v>CASA-NUEVA-80</x:v>
      </x:c>
      <x:c r="C7" s="26" t="str">
        <x:f>'Presupuesto'!C7</x:f>
        <x:v>Económico</x:v>
      </x:c>
      <x:c r="D7" s="28" t="n">
        <x:f>'Presupuesto'!K7</x:f>
        <x:v>100583560</x:v>
      </x:c>
      <x:c r="E7" s="25" t="n">
        <x:f>$D7*$L$7</x:f>
        <x:v>10058356</x:v>
      </x:c>
      <x:c r="F7" s="25" t="n">
        <x:f>$D7*$M$7</x:f>
        <x:v>15087534</x:v>
      </x:c>
      <x:c r="G7" s="25" t="n">
        <x:f>$D7*$N$7</x:f>
        <x:v>25145890</x:v>
      </x:c>
      <x:c r="H7" s="25" t="n">
        <x:f>$D7*$O$7</x:f>
        <x:v>25145890</x:v>
      </x:c>
      <x:c r="I7" s="25" t="n">
        <x:f>$D7*$P$7</x:f>
        <x:v>15087534</x:v>
      </x:c>
      <x:c r="J7" s="25" t="n">
        <x:f>$D7*$Q$7</x:f>
        <x:v>10058356</x:v>
      </x:c>
      <x:c r="K7" s="2"/>
      <x:c r="L7" s="22" t="n">
        <x:v>0.1</x:v>
      </x:c>
      <x:c r="M7" s="22" t="n">
        <x:v>0.15</x:v>
      </x:c>
      <x:c r="N7" s="22" t="n">
        <x:v>0.25</x:v>
      </x:c>
      <x:c r="O7" s="22" t="n">
        <x:v>0.25</x:v>
      </x:c>
      <x:c r="P7" s="22" t="n">
        <x:v>0.15</x:v>
      </x:c>
      <x:c r="Q7" s="22" t="n">
        <x:v>0.1</x:v>
      </x:c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26" t="str">
        <x:f>'Presupuesto'!A8</x:f>
        <x:v>ESC-02</x:v>
      </x:c>
      <x:c r="B8" s="26" t="str">
        <x:f>'Presupuesto'!B8</x:f>
        <x:v>CASA-NUEVA-80</x:v>
      </x:c>
      <x:c r="C8" s="26" t="str">
        <x:f>'Presupuesto'!C8</x:f>
        <x:v>Estándar</x:v>
      </x:c>
      <x:c r="D8" s="28" t="n">
        <x:f>'Presupuesto'!K8</x:f>
        <x:v>142269260</x:v>
      </x:c>
      <x:c r="E8" s="25" t="n">
        <x:f>$D8*$L$7</x:f>
        <x:v>14226926</x:v>
      </x:c>
      <x:c r="F8" s="25" t="n">
        <x:f>$D8*$M$7</x:f>
        <x:v>21340389</x:v>
      </x:c>
      <x:c r="G8" s="25" t="n">
        <x:f>$D8*$N$7</x:f>
        <x:v>35567315</x:v>
      </x:c>
      <x:c r="H8" s="25" t="n">
        <x:f>$D8*$O$7</x:f>
        <x:v>35567315</x:v>
      </x:c>
      <x:c r="I8" s="25" t="n">
        <x:f>$D8*$P$7</x:f>
        <x:v>21340389</x:v>
      </x:c>
      <x:c r="J8" s="25" t="n">
        <x:f>$D8*$Q$7</x:f>
        <x:v>14226926</x:v>
      </x:c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26" t="str">
        <x:f>'Presupuesto'!A9</x:f>
        <x:v>ESC-03</x:v>
      </x:c>
      <x:c r="B9" s="26" t="str">
        <x:f>'Presupuesto'!B9</x:f>
        <x:v>CASA-NUEVA-80</x:v>
      </x:c>
      <x:c r="C9" s="26" t="str">
        <x:f>'Presupuesto'!C9</x:f>
        <x:v>Mayor desempeño</x:v>
      </x:c>
      <x:c r="D9" s="28" t="n">
        <x:f>'Presupuesto'!K9</x:f>
        <x:v>193636800</x:v>
      </x:c>
      <x:c r="E9" s="25" t="n">
        <x:f>$D9*$L$7</x:f>
        <x:v>19363680</x:v>
      </x:c>
      <x:c r="F9" s="25" t="n">
        <x:f>$D9*$M$7</x:f>
        <x:v>29045520</x:v>
      </x:c>
      <x:c r="G9" s="25" t="n">
        <x:f>$D9*$N$7</x:f>
        <x:v>48409200</x:v>
      </x:c>
      <x:c r="H9" s="25" t="n">
        <x:f>$D9*$O$7</x:f>
        <x:v>48409200</x:v>
      </x:c>
      <x:c r="I9" s="25" t="n">
        <x:f>$D9*$P$7</x:f>
        <x:v>29045520</x:v>
      </x:c>
      <x:c r="J9" s="25" t="n">
        <x:f>$D9*$Q$7</x:f>
        <x:v>19363680</x:v>
      </x:c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26" t="str">
        <x:f>'Presupuesto'!A10</x:f>
        <x:v>ESC-04</x:v>
      </x:c>
      <x:c r="B10" s="26" t="str">
        <x:f>'Presupuesto'!B10</x:f>
        <x:v>AMPLIACION-24</x:v>
      </x:c>
      <x:c r="C10" s="26" t="str">
        <x:f>'Presupuesto'!C10</x:f>
        <x:v>Económico</x:v>
      </x:c>
      <x:c r="D10" s="28" t="n">
        <x:f>'Presupuesto'!K10</x:f>
        <x:v>38536960</x:v>
      </x:c>
      <x:c r="E10" s="25" t="n">
        <x:f>$D10*$L$7</x:f>
        <x:v>3853696</x:v>
      </x:c>
      <x:c r="F10" s="25" t="n">
        <x:f>$D10*$M$7</x:f>
        <x:v>5780544</x:v>
      </x:c>
      <x:c r="G10" s="25" t="n">
        <x:f>$D10*$N$7</x:f>
        <x:v>9634240</x:v>
      </x:c>
      <x:c r="H10" s="25" t="n">
        <x:f>$D10*$O$7</x:f>
        <x:v>9634240</x:v>
      </x:c>
      <x:c r="I10" s="25" t="n">
        <x:f>$D10*$P$7</x:f>
        <x:v>5780544</x:v>
      </x:c>
      <x:c r="J10" s="25" t="n">
        <x:f>$D10*$Q$7</x:f>
        <x:v>3853696</x:v>
      </x:c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26" t="str">
        <x:f>'Presupuesto'!A11</x:f>
        <x:v>ESC-05</x:v>
      </x:c>
      <x:c r="B11" s="26" t="str">
        <x:f>'Presupuesto'!B11</x:f>
        <x:v>AMPLIACION-24</x:v>
      </x:c>
      <x:c r="C11" s="26" t="str">
        <x:f>'Presupuesto'!C11</x:f>
        <x:v>Estándar</x:v>
      </x:c>
      <x:c r="D11" s="28" t="n">
        <x:f>'Presupuesto'!K11</x:f>
        <x:v>55554257.5</x:v>
      </x:c>
      <x:c r="E11" s="25" t="n">
        <x:f>$D11*$L$7</x:f>
        <x:v>5555425.75</x:v>
      </x:c>
      <x:c r="F11" s="25" t="n">
        <x:f>$D11*$M$7</x:f>
        <x:v>8333138.625</x:v>
      </x:c>
      <x:c r="G11" s="25" t="n">
        <x:f>$D11*$N$7</x:f>
        <x:v>13888564.375</x:v>
      </x:c>
      <x:c r="H11" s="25" t="n">
        <x:f>$D11*$O$7</x:f>
        <x:v>13888564.375</x:v>
      </x:c>
      <x:c r="I11" s="25" t="n">
        <x:f>$D11*$P$7</x:f>
        <x:v>8333138.625</x:v>
      </x:c>
      <x:c r="J11" s="25" t="n">
        <x:f>$D11*$Q$7</x:f>
        <x:v>5555425.75</x:v>
      </x:c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26" t="str">
        <x:f>'Presupuesto'!A12</x:f>
        <x:v>ESC-06</x:v>
      </x:c>
      <x:c r="B12" s="26" t="str">
        <x:f>'Presupuesto'!B12</x:f>
        <x:v>AMPLIACION-24</x:v>
      </x:c>
      <x:c r="C12" s="26" t="str">
        <x:f>'Presupuesto'!C12</x:f>
        <x:v>Mayor desempeño</x:v>
      </x:c>
      <x:c r="D12" s="28" t="n">
        <x:f>'Presupuesto'!K12</x:f>
        <x:v>73899000</x:v>
      </x:c>
      <x:c r="E12" s="25" t="n">
        <x:f>$D12*$L$7</x:f>
        <x:v>7389900</x:v>
      </x:c>
      <x:c r="F12" s="25" t="n">
        <x:f>$D12*$M$7</x:f>
        <x:v>11084850</x:v>
      </x:c>
      <x:c r="G12" s="25" t="n">
        <x:f>$D12*$N$7</x:f>
        <x:v>18474750</x:v>
      </x:c>
      <x:c r="H12" s="25" t="n">
        <x:f>$D12*$O$7</x:f>
        <x:v>18474750</x:v>
      </x:c>
      <x:c r="I12" s="25" t="n">
        <x:f>$D12*$P$7</x:f>
        <x:v>11084850</x:v>
      </x:c>
      <x:c r="J12" s="25" t="n">
        <x:f>$D12*$Q$7</x:f>
        <x:v>7389900</x:v>
      </x:c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</x:sheetData>
  <x:mergeCells>
    <x:mergeCell ref="A2:H2"/>
    <x:mergeCell ref="A4:H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4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8" hidden="0" customHeight="1">
      <x:c r="A2" s="3" t="str">
        <x:v>Registro de cotizaciones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4"/>
      <x:c r="B3" s="4"/>
      <x:c r="C3" s="4"/>
      <x:c r="D3" s="4"/>
      <x:c r="E3" s="4"/>
      <x:c r="F3" s="4"/>
      <x:c r="G3" s="4"/>
      <x:c r="H3" s="4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6" t="str">
        <x:v>Complete tres ofertas equivalentes por partida o explique por qué no están disponibles. No confunda precio de catálogo, cotizado, pagado y estimado.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15" t="str">
        <x:v>Código</x:v>
      </x:c>
      <x:c r="B6" s="16" t="str">
        <x:v>Partida</x:v>
      </x:c>
      <x:c r="C6" s="16" t="str">
        <x:v>Proveedor</x:v>
      </x:c>
      <x:c r="D6" s="16" t="str">
        <x:v>Unidad</x:v>
      </x:c>
      <x:c r="E6" s="16" t="str">
        <x:v>Cantidad</x:v>
      </x:c>
      <x:c r="F6" s="16" t="str">
        <x:v>Precio unitario</x:v>
      </x:c>
      <x:c r="G6" s="16" t="str">
        <x:v>Transporte</x:v>
      </x:c>
      <x:c r="H6" s="16" t="str">
        <x:v>IVA %</x:v>
      </x:c>
      <x:c r="I6" s="16" t="str">
        <x:v>Total</x:v>
      </x:c>
      <x:c r="J6" s="16" t="str">
        <x:v>Fecha</x:v>
      </x:c>
      <x:c r="K6" s="16" t="str">
        <x:v>Región/comuna</x:v>
      </x:c>
      <x:c r="L6" s="16" t="str">
        <x:v>Plazo/stock</x:v>
      </x:c>
      <x:c r="M6" s="16" t="str">
        <x:v>Estado</x:v>
      </x:c>
      <x:c r="N6" s="17" t="str">
        <x:v>Fuente o enlace</x:v>
      </x:c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2" t="str">
        <x:v>COT-001</x:v>
      </x:c>
      <x:c r="B7" s="19" t="str"/>
      <x:c r="C7" s="19" t="str"/>
      <x:c r="D7" s="19" t="str"/>
      <x:c r="E7" s="35"/>
      <x:c r="F7" s="21"/>
      <x:c r="G7" s="21"/>
      <x:c r="H7" s="22" t="n">
        <x:v>0.19</x:v>
      </x:c>
      <x:c r="I7" s="25" t="str">
        <x:f>IF(OR(E7="",F7=""),"",(E7*F7+G7)*(1+H7))</x:f>
      </x:c>
      <x:c r="J7" s="19"/>
      <x:c r="K7" s="19" t="str"/>
      <x:c r="L7" s="19" t="str"/>
      <x:c r="M7" s="19" t="str">
        <x:v>cotizado</x:v>
      </x:c>
      <x:c r="N7" s="19" t="str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2" t="str">
        <x:v>COT-002</x:v>
      </x:c>
      <x:c r="B8" s="19" t="str"/>
      <x:c r="C8" s="19" t="str"/>
      <x:c r="D8" s="19" t="str"/>
      <x:c r="E8" s="35"/>
      <x:c r="F8" s="21"/>
      <x:c r="G8" s="21"/>
      <x:c r="H8" s="22" t="n">
        <x:v>0.19</x:v>
      </x:c>
      <x:c r="I8" s="25" t="str">
        <x:f>IF(OR(E8="",F8=""),"",(E8*F8+G8)*(1+H8))</x:f>
      </x:c>
      <x:c r="J8" s="19"/>
      <x:c r="K8" s="19" t="str"/>
      <x:c r="L8" s="19" t="str"/>
      <x:c r="M8" s="19" t="str">
        <x:v>cotizado</x:v>
      </x:c>
      <x:c r="N8" s="19" t="str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2" t="str">
        <x:v>COT-003</x:v>
      </x:c>
      <x:c r="B9" s="19" t="str"/>
      <x:c r="C9" s="19" t="str"/>
      <x:c r="D9" s="19" t="str"/>
      <x:c r="E9" s="35"/>
      <x:c r="F9" s="21"/>
      <x:c r="G9" s="21"/>
      <x:c r="H9" s="22" t="n">
        <x:v>0.19</x:v>
      </x:c>
      <x:c r="I9" s="25" t="str">
        <x:f>IF(OR(E9="",F9=""),"",(E9*F9+G9)*(1+H9))</x:f>
      </x:c>
      <x:c r="J9" s="19"/>
      <x:c r="K9" s="19" t="str"/>
      <x:c r="L9" s="19" t="str"/>
      <x:c r="M9" s="19" t="str">
        <x:v>cotizado</x:v>
      </x:c>
      <x:c r="N9" s="19" t="str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2" t="str">
        <x:v>COT-004</x:v>
      </x:c>
      <x:c r="B10" s="19" t="str"/>
      <x:c r="C10" s="19" t="str"/>
      <x:c r="D10" s="19" t="str"/>
      <x:c r="E10" s="35"/>
      <x:c r="F10" s="21"/>
      <x:c r="G10" s="21"/>
      <x:c r="H10" s="22" t="n">
        <x:v>0.19</x:v>
      </x:c>
      <x:c r="I10" s="25" t="str">
        <x:f>IF(OR(E10="",F10=""),"",(E10*F10+G10)*(1+H10))</x:f>
      </x:c>
      <x:c r="J10" s="19"/>
      <x:c r="K10" s="19" t="str"/>
      <x:c r="L10" s="19" t="str"/>
      <x:c r="M10" s="19" t="str">
        <x:v>cotizado</x:v>
      </x:c>
      <x:c r="N10" s="19" t="str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2" t="str">
        <x:v>COT-005</x:v>
      </x:c>
      <x:c r="B11" s="19" t="str"/>
      <x:c r="C11" s="19" t="str"/>
      <x:c r="D11" s="19" t="str"/>
      <x:c r="E11" s="35"/>
      <x:c r="F11" s="21"/>
      <x:c r="G11" s="21"/>
      <x:c r="H11" s="22" t="n">
        <x:v>0.19</x:v>
      </x:c>
      <x:c r="I11" s="25" t="str">
        <x:f>IF(OR(E11="",F11=""),"",(E11*F11+G11)*(1+H11))</x:f>
      </x:c>
      <x:c r="J11" s="19"/>
      <x:c r="K11" s="19" t="str"/>
      <x:c r="L11" s="19" t="str"/>
      <x:c r="M11" s="19" t="str">
        <x:v>cotizado</x:v>
      </x:c>
      <x:c r="N11" s="19" t="str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2" t="str">
        <x:v>COT-006</x:v>
      </x:c>
      <x:c r="B12" s="19" t="str"/>
      <x:c r="C12" s="19" t="str"/>
      <x:c r="D12" s="19" t="str"/>
      <x:c r="E12" s="35"/>
      <x:c r="F12" s="21"/>
      <x:c r="G12" s="21"/>
      <x:c r="H12" s="22" t="n">
        <x:v>0.19</x:v>
      </x:c>
      <x:c r="I12" s="25" t="str">
        <x:f>IF(OR(E12="",F12=""),"",(E12*F12+G12)*(1+H12))</x:f>
      </x:c>
      <x:c r="J12" s="19"/>
      <x:c r="K12" s="19" t="str"/>
      <x:c r="L12" s="19" t="str"/>
      <x:c r="M12" s="19" t="str">
        <x:v>cotizado</x:v>
      </x:c>
      <x:c r="N12" s="19" t="str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 t="str">
        <x:v>COT-007</x:v>
      </x:c>
      <x:c r="B13" s="19" t="str"/>
      <x:c r="C13" s="19" t="str"/>
      <x:c r="D13" s="19" t="str"/>
      <x:c r="E13" s="35"/>
      <x:c r="F13" s="21"/>
      <x:c r="G13" s="21"/>
      <x:c r="H13" s="22" t="n">
        <x:v>0.19</x:v>
      </x:c>
      <x:c r="I13" s="25" t="str">
        <x:f>IF(OR(E13="",F13=""),"",(E13*F13+G13)*(1+H13))</x:f>
      </x:c>
      <x:c r="J13" s="19"/>
      <x:c r="K13" s="19" t="str"/>
      <x:c r="L13" s="19" t="str"/>
      <x:c r="M13" s="19" t="str">
        <x:v>cotizado</x:v>
      </x:c>
      <x:c r="N13" s="19" t="str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 t="str">
        <x:v>COT-008</x:v>
      </x:c>
      <x:c r="B14" s="19" t="str"/>
      <x:c r="C14" s="19" t="str"/>
      <x:c r="D14" s="19" t="str"/>
      <x:c r="E14" s="35"/>
      <x:c r="F14" s="21"/>
      <x:c r="G14" s="21"/>
      <x:c r="H14" s="22" t="n">
        <x:v>0.19</x:v>
      </x:c>
      <x:c r="I14" s="25" t="str">
        <x:f>IF(OR(E14="",F14=""),"",(E14*F14+G14)*(1+H14))</x:f>
      </x:c>
      <x:c r="J14" s="19"/>
      <x:c r="K14" s="19" t="str"/>
      <x:c r="L14" s="19" t="str"/>
      <x:c r="M14" s="19" t="str">
        <x:v>cotizado</x:v>
      </x:c>
      <x:c r="N14" s="19" t="str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 t="str">
        <x:v>COT-009</x:v>
      </x:c>
      <x:c r="B15" s="19" t="str"/>
      <x:c r="C15" s="19" t="str"/>
      <x:c r="D15" s="19" t="str"/>
      <x:c r="E15" s="35"/>
      <x:c r="F15" s="21"/>
      <x:c r="G15" s="21"/>
      <x:c r="H15" s="22" t="n">
        <x:v>0.19</x:v>
      </x:c>
      <x:c r="I15" s="25" t="str">
        <x:f>IF(OR(E15="",F15=""),"",(E15*F15+G15)*(1+H15))</x:f>
      </x:c>
      <x:c r="J15" s="19"/>
      <x:c r="K15" s="19" t="str"/>
      <x:c r="L15" s="19" t="str"/>
      <x:c r="M15" s="19" t="str">
        <x:v>cotizado</x:v>
      </x:c>
      <x:c r="N15" s="19" t="str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 t="str">
        <x:v>COT-010</x:v>
      </x:c>
      <x:c r="B16" s="19" t="str"/>
      <x:c r="C16" s="19" t="str"/>
      <x:c r="D16" s="19" t="str"/>
      <x:c r="E16" s="35"/>
      <x:c r="F16" s="21"/>
      <x:c r="G16" s="21"/>
      <x:c r="H16" s="22" t="n">
        <x:v>0.19</x:v>
      </x:c>
      <x:c r="I16" s="25" t="str">
        <x:f>IF(OR(E16="",F16=""),"",(E16*F16+G16)*(1+H16))</x:f>
      </x:c>
      <x:c r="J16" s="19"/>
      <x:c r="K16" s="19" t="str"/>
      <x:c r="L16" s="19" t="str"/>
      <x:c r="M16" s="19" t="str">
        <x:v>cotizado</x:v>
      </x:c>
      <x:c r="N16" s="19" t="str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 t="str">
        <x:v>COT-011</x:v>
      </x:c>
      <x:c r="B17" s="19" t="str"/>
      <x:c r="C17" s="19" t="str"/>
      <x:c r="D17" s="19" t="str"/>
      <x:c r="E17" s="35"/>
      <x:c r="F17" s="21"/>
      <x:c r="G17" s="21"/>
      <x:c r="H17" s="22" t="n">
        <x:v>0.19</x:v>
      </x:c>
      <x:c r="I17" s="25" t="str">
        <x:f>IF(OR(E17="",F17=""),"",(E17*F17+G17)*(1+H17))</x:f>
      </x:c>
      <x:c r="J17" s="19"/>
      <x:c r="K17" s="19" t="str"/>
      <x:c r="L17" s="19" t="str"/>
      <x:c r="M17" s="19" t="str">
        <x:v>cotizado</x:v>
      </x:c>
      <x:c r="N17" s="19" t="str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 t="str">
        <x:v>COT-012</x:v>
      </x:c>
      <x:c r="B18" s="19" t="str"/>
      <x:c r="C18" s="19" t="str"/>
      <x:c r="D18" s="19" t="str"/>
      <x:c r="E18" s="35"/>
      <x:c r="F18" s="21"/>
      <x:c r="G18" s="21"/>
      <x:c r="H18" s="22" t="n">
        <x:v>0.19</x:v>
      </x:c>
      <x:c r="I18" s="25" t="str">
        <x:f>IF(OR(E18="",F18=""),"",(E18*F18+G18)*(1+H18))</x:f>
      </x:c>
      <x:c r="J18" s="19"/>
      <x:c r="K18" s="19" t="str"/>
      <x:c r="L18" s="19" t="str"/>
      <x:c r="M18" s="19" t="str">
        <x:v>cotizado</x:v>
      </x:c>
      <x:c r="N18" s="19" t="str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 t="str">
        <x:v>COT-013</x:v>
      </x:c>
      <x:c r="B19" s="19" t="str"/>
      <x:c r="C19" s="19" t="str"/>
      <x:c r="D19" s="19" t="str"/>
      <x:c r="E19" s="35"/>
      <x:c r="F19" s="21"/>
      <x:c r="G19" s="21"/>
      <x:c r="H19" s="22" t="n">
        <x:v>0.19</x:v>
      </x:c>
      <x:c r="I19" s="25" t="str">
        <x:f>IF(OR(E19="",F19=""),"",(E19*F19+G19)*(1+H19))</x:f>
      </x:c>
      <x:c r="J19" s="19"/>
      <x:c r="K19" s="19" t="str"/>
      <x:c r="L19" s="19" t="str"/>
      <x:c r="M19" s="19" t="str">
        <x:v>cotizado</x:v>
      </x:c>
      <x:c r="N19" s="19" t="str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 t="str">
        <x:v>COT-014</x:v>
      </x:c>
      <x:c r="B20" s="19" t="str"/>
      <x:c r="C20" s="19" t="str"/>
      <x:c r="D20" s="19" t="str"/>
      <x:c r="E20" s="35"/>
      <x:c r="F20" s="21"/>
      <x:c r="G20" s="21"/>
      <x:c r="H20" s="22" t="n">
        <x:v>0.19</x:v>
      </x:c>
      <x:c r="I20" s="25" t="str">
        <x:f>IF(OR(E20="",F20=""),"",(E20*F20+G20)*(1+H20))</x:f>
      </x:c>
      <x:c r="J20" s="19"/>
      <x:c r="K20" s="19" t="str"/>
      <x:c r="L20" s="19" t="str"/>
      <x:c r="M20" s="19" t="str">
        <x:v>cotizado</x:v>
      </x:c>
      <x:c r="N20" s="19" t="str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 t="str">
        <x:v>COT-015</x:v>
      </x:c>
      <x:c r="B21" s="19" t="str"/>
      <x:c r="C21" s="19" t="str"/>
      <x:c r="D21" s="19" t="str"/>
      <x:c r="E21" s="35"/>
      <x:c r="F21" s="21"/>
      <x:c r="G21" s="21"/>
      <x:c r="H21" s="22" t="n">
        <x:v>0.19</x:v>
      </x:c>
      <x:c r="I21" s="25" t="str">
        <x:f>IF(OR(E21="",F21=""),"",(E21*F21+G21)*(1+H21))</x:f>
      </x:c>
      <x:c r="J21" s="19"/>
      <x:c r="K21" s="19" t="str"/>
      <x:c r="L21" s="19" t="str"/>
      <x:c r="M21" s="19" t="str">
        <x:v>cotizado</x:v>
      </x:c>
      <x:c r="N21" s="19" t="str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 t="str">
        <x:v>COT-016</x:v>
      </x:c>
      <x:c r="B22" s="19" t="str"/>
      <x:c r="C22" s="19" t="str"/>
      <x:c r="D22" s="19" t="str"/>
      <x:c r="E22" s="35"/>
      <x:c r="F22" s="21"/>
      <x:c r="G22" s="21"/>
      <x:c r="H22" s="22" t="n">
        <x:v>0.19</x:v>
      </x:c>
      <x:c r="I22" s="25" t="str">
        <x:f>IF(OR(E22="",F22=""),"",(E22*F22+G22)*(1+H22))</x:f>
      </x:c>
      <x:c r="J22" s="19"/>
      <x:c r="K22" s="19" t="str"/>
      <x:c r="L22" s="19" t="str"/>
      <x:c r="M22" s="19" t="str">
        <x:v>cotizado</x:v>
      </x:c>
      <x:c r="N22" s="19" t="str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 t="str">
        <x:v>COT-017</x:v>
      </x:c>
      <x:c r="B23" s="19" t="str"/>
      <x:c r="C23" s="19" t="str"/>
      <x:c r="D23" s="19" t="str"/>
      <x:c r="E23" s="35"/>
      <x:c r="F23" s="21"/>
      <x:c r="G23" s="21"/>
      <x:c r="H23" s="22" t="n">
        <x:v>0.19</x:v>
      </x:c>
      <x:c r="I23" s="25" t="str">
        <x:f>IF(OR(E23="",F23=""),"",(E23*F23+G23)*(1+H23))</x:f>
      </x:c>
      <x:c r="J23" s="19"/>
      <x:c r="K23" s="19" t="str"/>
      <x:c r="L23" s="19" t="str"/>
      <x:c r="M23" s="19" t="str">
        <x:v>cotizado</x:v>
      </x:c>
      <x:c r="N23" s="19" t="str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 t="str">
        <x:v>COT-018</x:v>
      </x:c>
      <x:c r="B24" s="19" t="str"/>
      <x:c r="C24" s="19" t="str"/>
      <x:c r="D24" s="19" t="str"/>
      <x:c r="E24" s="35"/>
      <x:c r="F24" s="21"/>
      <x:c r="G24" s="21"/>
      <x:c r="H24" s="22" t="n">
        <x:v>0.19</x:v>
      </x:c>
      <x:c r="I24" s="25" t="str">
        <x:f>IF(OR(E24="",F24=""),"",(E24*F24+G24)*(1+H24))</x:f>
      </x:c>
      <x:c r="J24" s="19"/>
      <x:c r="K24" s="19" t="str"/>
      <x:c r="L24" s="19" t="str"/>
      <x:c r="M24" s="19" t="str">
        <x:v>cotizado</x:v>
      </x:c>
      <x:c r="N24" s="19" t="str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</x:sheetData>
  <x:mergeCells>
    <x:mergeCell ref="A2:H2"/>
    <x:mergeCell ref="A4:H4"/>
  </x:mergeCells>
  <x:dataValidations count="1">
    <x:dataValidation type="list" sqref="M7:M24">
      <x:formula1>"catálogo,cotizado,pagado,estimado,HIPOTÉTICO"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7A8793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2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8" hidden="0" customHeight="1">
      <x:c r="A2" s="3" t="str">
        <x:v>Controles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4"/>
      <x:c r="B3" s="4"/>
      <x:c r="C3" s="4"/>
      <x:c r="D3" s="4"/>
      <x:c r="E3" s="4"/>
      <x:c r="F3" s="4"/>
      <x:c r="G3" s="4"/>
      <x:c r="H3" s="4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6" t="str">
        <x:v>Esta hoja observa el modelo y no alimenta cálculos. Diferencia cero es neutral; una diferencia distinta de cero requiere revisión.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15" t="str">
        <x:v>Control</x:v>
      </x:c>
      <x:c r="B6" s="16" t="str">
        <x:v>Resultado</x:v>
      </x:c>
      <x:c r="C6" s="16" t="str">
        <x:v>Esperado</x:v>
      </x:c>
      <x:c r="D6" s="17" t="str">
        <x:v>Diferencia / estado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2" t="str">
        <x:v>Resumen vs presupuesto</x:v>
      </x:c>
      <x:c r="B7" s="25" t="n">
        <x:f>SUM('Resumen'!G7:G12)</x:f>
        <x:v>604479837.5</x:v>
      </x:c>
      <x:c r="C7" s="25" t="n">
        <x:f>SUM('Presupuesto'!K7:K12)</x:f>
        <x:v>604479837.5</x:v>
      </x:c>
      <x:c r="D7" s="37" t="n">
        <x:f>B7-C7</x:f>
        <x:v>0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2" t="str">
        <x:v>Flujo vs presupuesto</x:v>
      </x:c>
      <x:c r="B8" s="25" t="n">
        <x:f>SUM('Flujo mensual'!E7:J12)</x:f>
        <x:v>604479837.5</x:v>
      </x:c>
      <x:c r="C8" s="25" t="n">
        <x:f>SUM('Presupuesto'!K7:K12)</x:f>
        <x:v>604479837.5</x:v>
      </x:c>
      <x:c r="D8" s="37" t="n">
        <x:f>B8-C8</x:f>
        <x:v>0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2" t="str">
        <x:v>Distribución mensual</x:v>
      </x:c>
      <x:c r="B9" s="36" t="n">
        <x:f>SUM('Flujo mensual'!L7:Q7)</x:f>
        <x:v>1</x:v>
      </x:c>
      <x:c r="C9" s="36" t="n">
        <x:v>1</x:v>
      </x:c>
      <x:c r="D9" s="37" t="n">
        <x:f>B9-C9</x:f>
        <x:v>0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2" t="str">
        <x:v>Cantidades negativas</x:v>
      </x:c>
      <x:c r="B10" s="2" t="n">
        <x:f>COUNTIFS('Supuestos'!D7:D12,"&lt;0")</x:f>
        <x:v>0</x:v>
      </x:c>
      <x:c r="C10" s="2" t="n">
        <x:v>0</x:v>
      </x:c>
      <x:c r="D10" s="37" t="n">
        <x:f>B10-C10</x:f>
        <x:v>0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2" t="str">
        <x:v>Precios negativos</x:v>
      </x:c>
      <x:c r="B11" s="2" t="n">
        <x:f>COUNTIFS('Supuestos'!E7:F12,"&lt;0")</x:f>
        <x:v>0</x:v>
      </x:c>
      <x:c r="C11" s="2" t="n">
        <x:v>0</x:v>
      </x:c>
      <x:c r="D11" s="37" t="n">
        <x:f>B11-C11</x:f>
        <x:v>0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2" t="str">
        <x:v>IVA fuera de 0–100 %</x:v>
      </x:c>
      <x:c r="B12" s="2" t="n">
        <x:f>COUNTIFS('Supuestos'!I7:I12,"&lt;0")+COUNTIFS('Supuestos'!I7:I12,"&gt;1")</x:f>
        <x:v>0</x:v>
      </x:c>
      <x:c r="C12" s="2" t="n">
        <x:v>0</x:v>
      </x:c>
      <x:c r="D12" s="37" t="n">
        <x:f>B12-C12</x:f>
        <x:v>0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 t="str">
        <x:v>Códigos de escenario duplicados</x:v>
      </x:c>
      <x:c r="B13" s="2" t="n">
        <x:f>COUNTA('Supuestos'!A7:A12)-COUNTA('Presupuesto'!A7:A12)</x:f>
        <x:v>0</x:v>
      </x:c>
      <x:c r="C13" s="2" t="n">
        <x:v>0</x:v>
      </x:c>
      <x:c r="D13" s="37" t="n">
        <x:f>B13-C13</x:f>
        <x:v>0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 t="str">
        <x:v>Escenarios presentes</x:v>
      </x:c>
      <x:c r="B14" s="2" t="n">
        <x:f>COUNTA('Supuestos'!C7:C12)</x:f>
        <x:v>6</x:v>
      </x:c>
      <x:c r="C14" s="2" t="n">
        <x:v>6</x:v>
      </x:c>
      <x:c r="D14" s="37" t="n">
        <x:f>B14-C14</x:f>
        <x:v>0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 t="str">
        <x:v>Cotizaciones completas</x:v>
      </x:c>
      <x:c r="B15" s="2" t="n">
        <x:f>COUNTIFS('Cotizaciones'!B7:B24,"&lt;&gt;",'Cotizaciones'!C7:C24,"&lt;&gt;",'Cotizaciones'!F7:F24,"&gt;=0",'Cotizaciones'!J7:J24,"&lt;&gt;",'Cotizaciones'!N7:N24,"&lt;&gt;")</x:f>
        <x:v>0</x:v>
      </x:c>
      <x:c r="C15" s="2" t="n">
        <x:v>18</x:v>
      </x:c>
      <x:c r="D15" s="2" t="str">
        <x:f>IF(B15=C15,"COMPLETO","Faltan datos en cotizaciones")</x:f>
        <x:v>Faltan datos en cotizaciones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</x:sheetData>
  <x:mergeCells>
    <x:mergeCell ref="A2:H2"/>
    <x:mergeCell ref="A4:H4"/>
  </x:mergeCells>
  <x:conditionalFormatting sqref="D7:D14">
    <x:cfRule type="cellIs" dxfId="0" priority="1" operator="notEqual">
      <x:formula>0</x:formula>
    </x:cfRule>
  </x:conditionalFormatting>
  <x:conditionalFormatting sqref="D15:D15">
    <x:cfRule type="containsText" dxfId="1" priority="2" operator="containsText" text="Faltan"/>
  </x:conditionalFormatting>
  <x:pageMargins left="0.7" right="0.7" top="0.75" bottom="0.75" header="0.3" footer="0.3"/>
</x:worksheet>
</file>